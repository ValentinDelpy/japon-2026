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néraire" sheetId="1" r:id="rId5"/>
    <sheet state="visible" name="Calculateur" sheetId="2" r:id="rId6"/>
    <sheet state="visible" name="Plans de voyage" sheetId="3" r:id="rId7"/>
    <sheet state="visible" name="Idées monsieur GPT" sheetId="4" r:id="rId8"/>
  </sheets>
  <definedNames/>
  <calcPr/>
</workbook>
</file>

<file path=xl/sharedStrings.xml><?xml version="1.0" encoding="utf-8"?>
<sst xmlns="http://schemas.openxmlformats.org/spreadsheetml/2006/main" count="153" uniqueCount="140">
  <si>
    <t>Jour</t>
  </si>
  <si>
    <t>Lieu visité</t>
  </si>
  <si>
    <t>Lieu logement</t>
  </si>
  <si>
    <t>Logement</t>
  </si>
  <si>
    <t>Alternative logement</t>
  </si>
  <si>
    <t>Prix</t>
  </si>
  <si>
    <t>Prix / personne</t>
  </si>
  <si>
    <t>Réservé ?</t>
  </si>
  <si>
    <t>Activités</t>
  </si>
  <si>
    <t>Durée trajet</t>
  </si>
  <si>
    <t>Prix trajet / personne</t>
  </si>
  <si>
    <t>Billets réservés ?</t>
  </si>
  <si>
    <t>Infos supplémentaires</t>
  </si>
  <si>
    <t>Aéroport Toulouse - Blagnac</t>
  </si>
  <si>
    <t>Pas de logement</t>
  </si>
  <si>
    <t>Tokyo</t>
  </si>
  <si>
    <t>Logement low cost</t>
  </si>
  <si>
    <t>Ca a de la gueule</t>
  </si>
  <si>
    <t xml:space="preserve">Tsukiji </t>
  </si>
  <si>
    <t>Kanazawa</t>
  </si>
  <si>
    <t>Raisonnable</t>
  </si>
  <si>
    <t>Stylé</t>
  </si>
  <si>
    <t>2h30</t>
  </si>
  <si>
    <t>Shirakawa-go</t>
  </si>
  <si>
    <t>Takayama</t>
  </si>
  <si>
    <t>C'est joli</t>
  </si>
  <si>
    <t>Lave-linge + sèche-linge</t>
  </si>
  <si>
    <t>1h15 de kanazawa vers shirakawa-go
50 mins vers takayama</t>
  </si>
  <si>
    <t>Kyoto</t>
  </si>
  <si>
    <t>Lave-linge</t>
  </si>
  <si>
    <t>Sèche-linge</t>
  </si>
  <si>
    <t>Train 3h00</t>
  </si>
  <si>
    <t>Nara</t>
  </si>
  <si>
    <t xml:space="preserve">Nara A/R, 1h30 </t>
  </si>
  <si>
    <t>Hiroshima</t>
  </si>
  <si>
    <t>Hiroshima (A voir Miyajima)</t>
  </si>
  <si>
    <t>Prix sympa</t>
  </si>
  <si>
    <t>Trad house</t>
  </si>
  <si>
    <t>Peace Memorial Park &amp; museum (morning), Miyajima Island floating torii (afternoon/evening)</t>
  </si>
  <si>
    <t>1h45</t>
  </si>
  <si>
    <t>Osaka</t>
  </si>
  <si>
    <t>Very economic</t>
  </si>
  <si>
    <t>Fancy time (très cool)</t>
  </si>
  <si>
    <t>1h30</t>
  </si>
  <si>
    <t>Universal Studio</t>
  </si>
  <si>
    <t>Hakone</t>
  </si>
  <si>
    <t>Cool</t>
  </si>
  <si>
    <t>Fancy again</t>
  </si>
  <si>
    <t>Regarder logement dans un Ryokan</t>
  </si>
  <si>
    <t>2h00</t>
  </si>
  <si>
    <t>Correct</t>
  </si>
  <si>
    <t>Aéroport de Tokyo</t>
  </si>
  <si>
    <t>Moyenne logements</t>
  </si>
  <si>
    <t>Total logements</t>
  </si>
  <si>
    <t>Total train</t>
  </si>
  <si>
    <t>Billets Universal Studio</t>
  </si>
  <si>
    <t xml:space="preserve">TOTAL </t>
  </si>
  <si>
    <t>Calculateur</t>
  </si>
  <si>
    <t>Somme en yens</t>
  </si>
  <si>
    <t>Somme en euros</t>
  </si>
  <si>
    <t>1 EURO =</t>
  </si>
  <si>
    <t>Source</t>
  </si>
  <si>
    <t>Avis</t>
  </si>
  <si>
    <t>Idées à retenir</t>
  </si>
  <si>
    <t>https://voyages.routard.com/fr/idea/21125969/le-japon-en-15-jours-par-routard</t>
  </si>
  <si>
    <t>https://onmetlesvoiles.com/circuit-de-2-semaines-au-japon-itineraire-budget/</t>
  </si>
  <si>
    <t>https://recitsdescapades.com/15-jours-au-japon-notre-itineraire/</t>
  </si>
  <si>
    <t>https://www.elovoyage.com/itineraire-deux-semaines-japon/</t>
  </si>
  <si>
    <t>https://www.petitfute.com/p205-japon/actualite/m4-idees-week-end-et-vacances/a39900-visiter-le-japon-en-15-jours-le-meilleur-itineraire-a-faire.html</t>
  </si>
  <si>
    <t>Avis d'activités à faire à Tokyo</t>
  </si>
  <si>
    <t>Okay peut-être sympa</t>
  </si>
  <si>
    <t>Le site est cool</t>
  </si>
  <si>
    <t>Voici une suggestion détaillée d’itinéraire au Japon du 19 novembre au 5 décembre (jours inclus), avec une journée à Universal Studios Japan prévue, mais aussi plein d’étapes atypiques, rurales, artisanales, et « sauvages ». L’objectif est d’éviter le circuit trop classique (Tokyo–Kyoto–Osaka) pour vivre une immersion plus profonde dans la campagne, les villages historiques et les traditions locales.</t>
  </si>
  <si>
    <t>🛫 Jour 1 – 19 Nov : Arrivée à Tokyo</t>
  </si>
  <si>
    <t>Tokyo — installation et petite balade dans un quartier local (ex. Kagurazaka ou Yanaka pour une ambiance plus traditionnelle), dîner izakaya.</t>
  </si>
  <si>
    <t>→ Pas trop chargé, profitez du décalage horaire.</t>
  </si>
  <si>
    <t>🏙 Jours 2–4 : Tokyo “offbeat”</t>
  </si>
  <si>
    <t>Jour 2 – 20 nov : Tokyo rural + artisanat urbain</t>
  </si>
  <si>
    <t>Balade à Yanesen (Yanaka, Nezu, Sendagi) — charme ancien, artisans, petites boutiques.</t>
  </si>
  <si>
    <t>Visite d’ateliers de céramique ou boutiques de mingei (artisanat japonais traditionnel).</t>
  </si>
  <si>
    <t>→ Inspiration artisanale urbaine liée à la philosophie mingei, encore vivante au Japon.</t>
  </si>
  <si>
    <t>Jour 3 – 21 nov : Excursion nature près de Tokyo</t>
  </si>
  <si>
    <t>Saiko Iyashi-no-Sato Nenba – village traditionnel restauré avec maisons à toit de chaume, ateliers d’art et boutiques d’artisanat, cadre face au Mont Fuji.</t>
  </si>
  <si>
    <t>Retour en soirée à Tokyo.</t>
  </si>
  <si>
    <t>Jour 4 – 22 nov : Suginami / Asagaya Art &amp; Tradition</t>
  </si>
  <si>
    <t>Visite de petits ateliers d’artisans et caves de saké locales dans des quartiers moins touristiques.</t>
  </si>
  <si>
    <t>🚆 Jours 5–6 : Kanazawa — culture, artisanat &amp; histoire</t>
  </si>
  <si>
    <t>Jour 5 – 23 nov : Tokyo → Kanazawa</t>
  </si>
  <si>
    <t>Arrivée en après-midi, promenade dans le quartier Higashi Chaya (quartier de geisha et maisons traditionnelles).</t>
  </si>
  <si>
    <t>Jour 6 – 24 nov : Kanazawa tradition &amp; métiers</t>
  </si>
  <si>
    <t>Atelier dorure sur feuille d’or (Kanazawa est mondialement connue pour ce savoir-faire).</t>
  </si>
  <si>
    <t>Marché Omicho pour produits locaux, puis мастер-class de poterie ou washi si possible.</t>
  </si>
  <si>
    <t>🏞 Jours 7–8 : Shirakawa-go &amp; Hida région</t>
  </si>
  <si>
    <t>Jour 7 – 25 nov : Kanazawa → Shirakawa-go</t>
  </si>
  <si>
    <t>Shirakawa-go, village classé UNESCO avec maisons gasshō-zukuri (toits en chaume).</t>
  </si>
  <si>
    <t>Nuit dans un minshuku (auberge traditionnelle dans le village).</t>
  </si>
  <si>
    <t>Jour 8 – 26 nov : Shirakawa-go → Takayama</t>
  </si>
  <si>
    <t>Hida Folk Village (Hida no Sato) – village-musée vivant avec artisans traditionnels (sculpture sur bois, teinture, tissage).</t>
  </si>
  <si>
    <t>Nuit à Takayama (vieille ville, sake breweries).</t>
  </si>
  <si>
    <t>⛰ Jours 9–10 : Alpes japonaises – nature, onsen et villages</t>
  </si>
  <si>
    <t>Jour 9 – 27 nov : Takayama → Vallée Okuhida</t>
  </si>
  <si>
    <t>Route panoramique Alpine, arrêts photo, petites fermes.</t>
  </si>
  <si>
    <t>Onsen traditionnel en montagne.</t>
  </si>
  <si>
    <t>Jour 10 – 28 nov : Okuhida → Nagano</t>
  </si>
  <si>
    <t>Visite libre des montagnes, animaux sauvages, villages authentiques.</t>
  </si>
  <si>
    <t>Nuit à Nagano.</t>
  </si>
  <si>
    <t>🏯 Jours 11–12 : Temples &amp; nature</t>
  </si>
  <si>
    <t>Jour 11 – 29 nov : Nagano &amp; environs</t>
  </si>
  <si>
    <t>Excursion à Nozawa Onsen — village montagneux avec culture locale, onsen et produits artisanaux.</t>
  </si>
  <si>
    <t>Dîner chez un producteur local.</t>
  </si>
  <si>
    <t>Jour 12 – 30 nov : Nagano → Région Nakasendo</t>
  </si>
  <si>
    <t>Tsumago &amp; Magome — villages historiques sur le sentier Nakasendo, parfaits pour randonnées et immersion rurale.</t>
  </si>
  <si>
    <t>🍂 Jours 13–15 : Kyoto rural &amp; artisanat</t>
  </si>
  <si>
    <t>Jour 13 – 1er déc : Nakasendo → Kyoto</t>
  </si>
  <si>
    <t>Arrivée à Kyoto, soir tranquille.</t>
  </si>
  <si>
    <t>Jour 14 – 2 déc : Kyoto artisanat traditionnel</t>
  </si>
  <si>
    <t>Participation à un atelier de kintsugi (réparation d’objets en céramique), ou teinture yuzen (textiles).</t>
  </si>
  <si>
    <t>Balade dans les ruelles de Gion.</t>
  </si>
  <si>
    <t>Jour 15 – 3 déc : Arashiyama &amp; bambou</t>
  </si>
  <si>
    <t>Temple Tenryu-ji et forêt de bambou, puis visite d’ateliers de gravure sur bois du quartier.</t>
  </si>
  <si>
    <t>🎢 Jour 16 : Osaka – Universal Studios</t>
  </si>
  <si>
    <t>📍 Universal Studios Japan</t>
  </si>
  <si>
    <t>Consacrez une journée entière à ce parc d’attractions : Harry Potter World, Super Nintendo World, Jurassic Park, montagnes russes comme The Flying Dinosaur ou Hollywood Dream.</t>
  </si>
  <si>
    <t>🍜 Jour 17 : Osaka &amp; culture urbaine</t>
  </si>
  <si>
    <t>Visite d’Osaka (Dotonbori, château d’Osaka, dégustation d’okonomiyaki).</t>
  </si>
  <si>
    <t>Soirée dans les quartiers locaux plutôt que touristiques.</t>
  </si>
  <si>
    <t>🏖 Jour 18 : Uchiko/Setouchi ou région de Tottori</t>
  </si>
  <si>
    <t>Si vous avez envie d’une journée différente : partez vers la côte de la mer Intérieure de Seto et arrêtez-vous dans un village d’artisans de céramique ou de bois.</t>
  </si>
  <si>
    <t>Ou encore :</t>
  </si>
  <si>
    <t>Une excursion vers Tottori pour dunes + villages traditionnels.</t>
  </si>
  <si>
    <t>✈️ Jour 19 – 5 déc : Retour</t>
  </si>
  <si>
    <t>Retour vers Osaka ou Tokyo selon votre vol.</t>
  </si>
  <si>
    <t>🧭 Conseils &amp; liens utiles</t>
  </si>
  <si>
    <t>🔗 Billets, horaires et astuces pour Universal Studios Japan : calendrier, attractions phares, conseils pratiques → sources officielles et guides détaillés.</t>
  </si>
  <si>
    <t>🔗 Infos villages artisanaux : Shirakawa-go (UNESCO), Hida Folk Village, Saiko Iyashi-no-Sato.</t>
  </si>
  <si>
    <t>🔗 Pour des expériences d’artisanat et immersion locale : la région Hokuriku (villages traditionnels, ateliers bois/céramique/washi), les fermes de Okumino et les villages de Nakasendo.</t>
  </si>
  <si>
    <t>🎒 Conseils pratiques</t>
  </si>
  <si>
    <t>JR Pass ou pass régionaux (ex. Hokuriku, Kansai) peuvent être utiles selon votre programme de trajets en train.</t>
  </si>
  <si>
    <t>Réservez les billets Universal Studios et certains ateliers artisanaux à l’avance, surtout pour des dates fixes.</t>
  </si>
  <si>
    <t>En novembre/décembre, il commence à faire froid en montagne — vérifiez météo et bus/train pour Shirakawa-go.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</si>
</sst>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32">
    <font>
      <sz val="10.0"/>
      <color rgb="FF000000"/>
      <name val="Arial"/>
      <scheme val="minor"/>
    </font>
    <font>
      <b/>
      <sz val="12.0"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Roboto"/>
    </font>
    <font>
      <u/>
      <color rgb="FF0000FF"/>
      <name val="Roboto"/>
    </font>
    <font>
      <b/>
      <sz val="12.0"/>
      <color theme="1"/>
      <name val="Roboto"/>
    </font>
    <font>
      <b/>
      <sz val="12.0"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color rgb="FF000000"/>
      <name val="Var(--font-mono)"/>
    </font>
    <font>
      <color rgb="FFABB2BF"/>
      <name val="Var(--font-mono)"/>
    </font>
    <font>
      <b/>
      <sz val="15.0"/>
      <color rgb="FFFFFFFF"/>
      <name val="Arial"/>
      <scheme val="minor"/>
    </font>
    <font/>
    <font>
      <sz val="12.0"/>
      <color rgb="FF000118"/>
      <name val="Arial"/>
      <scheme val="minor"/>
    </font>
    <font>
      <sz val="12.0"/>
      <color rgb="FF313131"/>
      <name val="Arial"/>
      <scheme val="minor"/>
    </font>
    <font>
      <b/>
      <sz val="20.0"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3D85C6"/>
        <bgColor rgb="FF3D85C6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0" fillId="2" fontId="2" numFmtId="0" xfId="0" applyFont="1"/>
    <xf borderId="4" fillId="3" fontId="3" numFmtId="164" xfId="0" applyAlignment="1" applyBorder="1" applyFill="1" applyFont="1" applyNumberForma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0" fillId="3" fontId="4" numFmtId="0" xfId="0" applyFont="1"/>
    <xf borderId="4" fillId="4" fontId="3" numFmtId="164" xfId="0" applyAlignment="1" applyBorder="1" applyFill="1" applyFont="1" applyNumberForma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0" fillId="4" fontId="4" numFmtId="0" xfId="0" applyFont="1"/>
    <xf borderId="3" fillId="4" fontId="3" numFmtId="0" xfId="0" applyAlignment="1" applyBorder="1" applyFont="1">
      <alignment shrinkToFit="0" vertical="center" wrapText="1"/>
    </xf>
    <xf borderId="3" fillId="4" fontId="3" numFmtId="0" xfId="0" applyAlignment="1" applyBorder="1" applyFont="1">
      <alignment shrinkToFit="0" wrapText="1"/>
    </xf>
    <xf borderId="4" fillId="5" fontId="3" numFmtId="164" xfId="0" applyAlignment="1" applyBorder="1" applyFill="1" applyFont="1" applyNumberFormat="1">
      <alignment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wrapText="1"/>
    </xf>
    <xf borderId="0" fillId="5" fontId="8" numFmtId="0" xfId="0" applyAlignment="1" applyFont="1">
      <alignment readingOrder="0" shrinkToFit="0" vertical="center" wrapText="1"/>
    </xf>
    <xf borderId="0" fillId="5" fontId="3" numFmtId="0" xfId="0" applyAlignment="1" applyFont="1">
      <alignment readingOrder="0" shrinkToFit="0" vertical="center" wrapText="1"/>
    </xf>
    <xf borderId="3" fillId="5" fontId="3" numFmtId="0" xfId="0" applyAlignment="1" applyBorder="1" applyFont="1">
      <alignment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4" numFmtId="0" xfId="0" applyFont="1"/>
    <xf borderId="0" fillId="5" fontId="3" numFmtId="0" xfId="0" applyAlignment="1" applyFont="1">
      <alignment shrinkToFit="0" wrapText="1"/>
    </xf>
    <xf borderId="4" fillId="6" fontId="3" numFmtId="164" xfId="0" applyAlignment="1" applyBorder="1" applyFill="1" applyFont="1" applyNumberFormat="1">
      <alignment readingOrder="0" shrinkToFit="0" vertical="center" wrapText="1"/>
    </xf>
    <xf borderId="0" fillId="6" fontId="3" numFmtId="0" xfId="0" applyAlignment="1" applyFont="1">
      <alignment readingOrder="0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6" fontId="3" numFmtId="0" xfId="0" applyAlignment="1" applyFont="1">
      <alignment readingOrder="0" shrinkToFit="0" vertical="center" wrapText="1"/>
    </xf>
    <xf borderId="3" fillId="6" fontId="3" numFmtId="0" xfId="0" applyAlignment="1" applyBorder="1" applyFont="1">
      <alignment readingOrder="0" shrinkToFit="0" wrapText="1"/>
    </xf>
    <xf borderId="3" fillId="6" fontId="3" numFmtId="0" xfId="0" applyAlignment="1" applyBorder="1" applyFont="1">
      <alignment readingOrder="0" shrinkToFit="0" vertical="center" wrapText="1"/>
    </xf>
    <xf borderId="0" fillId="6" fontId="4" numFmtId="0" xfId="0" applyFont="1"/>
    <xf borderId="0" fillId="6" fontId="3" numFmtId="0" xfId="0" applyAlignment="1" applyFont="1">
      <alignment shrinkToFit="0" wrapText="1"/>
    </xf>
    <xf borderId="4" fillId="7" fontId="3" numFmtId="164" xfId="0" applyAlignment="1" applyBorder="1" applyFill="1" applyFont="1" applyNumberFormat="1">
      <alignment readingOrder="0" shrinkToFit="0" vertical="center" wrapText="1"/>
    </xf>
    <xf borderId="0" fillId="7" fontId="3" numFmtId="0" xfId="0" applyAlignment="1" applyFont="1">
      <alignment readingOrder="0" shrinkToFit="0" vertical="center" wrapText="1"/>
    </xf>
    <xf borderId="0" fillId="7" fontId="10" numFmtId="0" xfId="0" applyAlignment="1" applyFont="1">
      <alignment readingOrder="0" shrinkToFit="0" vertical="center" wrapText="1"/>
    </xf>
    <xf borderId="0" fillId="7" fontId="3" numFmtId="0" xfId="0" applyAlignment="1" applyFont="1">
      <alignment readingOrder="0" shrinkToFit="0" vertical="center" wrapText="1"/>
    </xf>
    <xf borderId="0" fillId="7" fontId="3" numFmtId="0" xfId="0" applyAlignment="1" applyFont="1">
      <alignment shrinkToFit="0" vertical="center" wrapText="1"/>
    </xf>
    <xf borderId="3" fillId="7" fontId="3" numFmtId="0" xfId="0" applyAlignment="1" applyBorder="1" applyFont="1">
      <alignment shrinkToFit="0" wrapText="1"/>
    </xf>
    <xf borderId="0" fillId="7" fontId="4" numFmtId="0" xfId="0" applyFont="1"/>
    <xf borderId="3" fillId="7" fontId="3" numFmtId="0" xfId="0" applyAlignment="1" applyBorder="1" applyFont="1">
      <alignment shrinkToFit="0" vertical="center" wrapText="1"/>
    </xf>
    <xf borderId="0" fillId="7" fontId="4" numFmtId="0" xfId="0" applyAlignment="1" applyFont="1">
      <alignment shrinkToFit="0" wrapText="1"/>
    </xf>
    <xf borderId="3" fillId="7" fontId="3" numFmtId="0" xfId="0" applyAlignment="1" applyBorder="1" applyFont="1">
      <alignment readingOrder="0" shrinkToFit="0" vertical="center" wrapText="1"/>
    </xf>
    <xf borderId="4" fillId="8" fontId="3" numFmtId="164" xfId="0" applyAlignment="1" applyBorder="1" applyFill="1" applyFont="1" applyNumberFormat="1">
      <alignment readingOrder="0" shrinkToFit="0" vertical="center" wrapText="1"/>
    </xf>
    <xf borderId="0" fillId="8" fontId="3" numFmtId="0" xfId="0" applyAlignment="1" applyFont="1">
      <alignment readingOrder="0" shrinkToFit="0" vertical="center" wrapText="1"/>
    </xf>
    <xf borderId="0" fillId="8" fontId="11" numFmtId="0" xfId="0" applyAlignment="1" applyFont="1">
      <alignment readingOrder="0" shrinkToFit="0" vertical="center" wrapText="1"/>
    </xf>
    <xf borderId="0" fillId="8" fontId="3" numFmtId="0" xfId="0" applyAlignment="1" applyFont="1">
      <alignment readingOrder="0" shrinkToFit="0" vertical="center" wrapText="1"/>
    </xf>
    <xf borderId="0" fillId="8" fontId="4" numFmtId="0" xfId="0" applyAlignment="1" applyFont="1">
      <alignment readingOrder="0" shrinkToFit="0" wrapText="1"/>
    </xf>
    <xf borderId="0" fillId="8" fontId="3" numFmtId="0" xfId="0" applyAlignment="1" applyFont="1">
      <alignment readingOrder="0" shrinkToFit="0" wrapText="1"/>
    </xf>
    <xf borderId="3" fillId="8" fontId="3" numFmtId="0" xfId="0" applyAlignment="1" applyBorder="1" applyFont="1">
      <alignment shrinkToFit="0" vertical="center" wrapText="1"/>
    </xf>
    <xf borderId="0" fillId="8" fontId="4" numFmtId="0" xfId="0" applyFont="1"/>
    <xf borderId="4" fillId="9" fontId="3" numFmtId="164" xfId="0" applyAlignment="1" applyBorder="1" applyFill="1" applyFont="1" applyNumberFormat="1">
      <alignment readingOrder="0" shrinkToFit="0" vertical="center" wrapText="1"/>
    </xf>
    <xf borderId="0" fillId="9" fontId="4" numFmtId="0" xfId="0" applyAlignment="1" applyFont="1">
      <alignment readingOrder="0"/>
    </xf>
    <xf borderId="0" fillId="9" fontId="3" numFmtId="0" xfId="0" applyAlignment="1" applyFont="1">
      <alignment readingOrder="0" shrinkToFit="0" vertical="center" wrapText="1"/>
    </xf>
    <xf borderId="0" fillId="9" fontId="12" numFmtId="0" xfId="0" applyAlignment="1" applyFont="1">
      <alignment readingOrder="0" shrinkToFit="0" vertical="center" wrapText="1"/>
    </xf>
    <xf borderId="0" fillId="9" fontId="13" numFmtId="0" xfId="0" applyAlignment="1" applyFont="1">
      <alignment readingOrder="0" shrinkToFit="0" wrapText="1"/>
    </xf>
    <xf borderId="0" fillId="9" fontId="3" numFmtId="0" xfId="0" applyAlignment="1" applyFont="1">
      <alignment readingOrder="0" shrinkToFit="0" vertical="center" wrapText="1"/>
    </xf>
    <xf borderId="0" fillId="9" fontId="4" numFmtId="0" xfId="0" applyFont="1"/>
    <xf borderId="0" fillId="9" fontId="3" numFmtId="0" xfId="0" applyAlignment="1" applyFont="1">
      <alignment shrinkToFit="0" vertical="center" wrapText="1"/>
    </xf>
    <xf borderId="3" fillId="9" fontId="3" numFmtId="0" xfId="0" applyAlignment="1" applyBorder="1" applyFont="1">
      <alignment readingOrder="0" shrinkToFit="0" vertical="center" wrapText="1"/>
    </xf>
    <xf borderId="3" fillId="9" fontId="3" numFmtId="0" xfId="0" applyAlignment="1" applyBorder="1" applyFont="1">
      <alignment shrinkToFit="0" vertical="center" wrapText="1"/>
    </xf>
    <xf borderId="4" fillId="10" fontId="3" numFmtId="164" xfId="0" applyAlignment="1" applyBorder="1" applyFill="1" applyFont="1" applyNumberFormat="1">
      <alignment readingOrder="0" shrinkToFit="0" vertical="center" wrapText="1"/>
    </xf>
    <xf borderId="0" fillId="10" fontId="3" numFmtId="0" xfId="0" applyAlignment="1" applyFont="1">
      <alignment readingOrder="0" shrinkToFit="0" vertical="center" wrapText="1"/>
    </xf>
    <xf borderId="0" fillId="10" fontId="14" numFmtId="0" xfId="0" applyAlignment="1" applyFont="1">
      <alignment readingOrder="0" shrinkToFit="0" wrapText="1"/>
    </xf>
    <xf borderId="0" fillId="10" fontId="15" numFmtId="0" xfId="0" applyAlignment="1" applyFont="1">
      <alignment readingOrder="0" shrinkToFit="0" wrapText="1"/>
    </xf>
    <xf borderId="0" fillId="10" fontId="3" numFmtId="0" xfId="0" applyAlignment="1" applyFont="1">
      <alignment readingOrder="0" shrinkToFit="0" wrapText="1"/>
    </xf>
    <xf borderId="0" fillId="10" fontId="3" numFmtId="0" xfId="0" applyAlignment="1" applyFont="1">
      <alignment readingOrder="0" shrinkToFit="0" vertical="center" wrapText="1"/>
    </xf>
    <xf borderId="3" fillId="10" fontId="3" numFmtId="0" xfId="0" applyAlignment="1" applyBorder="1" applyFont="1">
      <alignment shrinkToFit="0" wrapText="1"/>
    </xf>
    <xf borderId="0" fillId="10" fontId="4" numFmtId="0" xfId="0" applyFont="1"/>
    <xf borderId="0" fillId="4" fontId="3" numFmtId="0" xfId="0" applyAlignment="1" applyFont="1">
      <alignment readingOrder="0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0" fillId="7" fontId="3" numFmtId="164" xfId="0" applyAlignment="1" applyFont="1" applyNumberFormat="1">
      <alignment readingOrder="0" shrinkToFit="0" vertical="center" wrapText="1"/>
    </xf>
    <xf borderId="4" fillId="0" fontId="16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16" numFmtId="0" xfId="0" applyAlignment="1" applyBorder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0" fontId="17" numFmtId="0" xfId="0" applyAlignment="1" applyBorder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shrinkToFit="0" vertical="bottom" wrapText="1"/>
    </xf>
    <xf borderId="3" fillId="0" fontId="4" numFmtId="0" xfId="0" applyBorder="1" applyFont="1"/>
    <xf borderId="5" fillId="0" fontId="17" numFmtId="0" xfId="0" applyAlignment="1" applyBorder="1" applyFont="1">
      <alignment vertical="bottom"/>
    </xf>
    <xf borderId="6" fillId="0" fontId="17" numFmtId="0" xfId="0" applyAlignment="1" applyBorder="1" applyFont="1">
      <alignment vertical="bottom"/>
    </xf>
    <xf borderId="6" fillId="0" fontId="18" numFmtId="0" xfId="0" applyAlignment="1" applyBorder="1" applyFont="1">
      <alignment vertical="bottom"/>
    </xf>
    <xf borderId="6" fillId="0" fontId="18" numFmtId="0" xfId="0" applyAlignment="1" applyBorder="1" applyFont="1">
      <alignment horizontal="right" vertical="bottom"/>
    </xf>
    <xf borderId="6" fillId="0" fontId="4" numFmtId="0" xfId="0" applyBorder="1" applyFont="1"/>
    <xf borderId="7" fillId="0" fontId="4" numFmtId="0" xfId="0" applyBorder="1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horizontal="left"/>
    </xf>
    <xf borderId="0" fillId="0" fontId="21" numFmtId="0" xfId="0" applyAlignment="1" applyFont="1">
      <alignment horizontal="left"/>
    </xf>
    <xf borderId="8" fillId="11" fontId="22" numFmtId="0" xfId="0" applyAlignment="1" applyBorder="1" applyFill="1" applyFont="1">
      <alignment horizontal="center" readingOrder="0" shrinkToFit="0" wrapText="1"/>
    </xf>
    <xf borderId="9" fillId="0" fontId="23" numFmtId="0" xfId="0" applyBorder="1" applyFont="1"/>
    <xf borderId="0" fillId="0" fontId="4" numFmtId="0" xfId="0" applyAlignment="1" applyFont="1">
      <alignment shrinkToFit="0" wrapText="1"/>
    </xf>
    <xf borderId="10" fillId="0" fontId="24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readingOrder="0" shrinkToFit="0" wrapText="1"/>
    </xf>
    <xf borderId="10" fillId="0" fontId="4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12" fontId="25" numFmtId="0" xfId="0" applyAlignment="1" applyFill="1" applyFont="1">
      <alignment horizontal="left" shrinkToFit="0" wrapText="1"/>
    </xf>
    <xf borderId="0" fillId="11" fontId="26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0" fillId="0" fontId="28" numFmtId="0" xfId="0" applyAlignment="1" applyFont="1">
      <alignment readingOrder="0" shrinkToFit="0" wrapText="1"/>
    </xf>
    <xf borderId="0" fillId="0" fontId="2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0" numFmtId="0" xfId="0" applyFont="1"/>
    <xf borderId="0" fillId="0" fontId="31" numFmtId="0" xfId="0" applyAlignment="1" applyFont="1">
      <alignment readingOrder="0"/>
    </xf>
    <xf borderId="0" fillId="0" fontId="3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irbnb.fr/rooms/1308373761672649274?adults=4&amp;check_in=2026-11-28&amp;check_out=2026-11-29&amp;search_mode=regular_search&amp;source_impression_id=p3_1771621270_P3mrb94oAk95uEfx&amp;previous_page_section_name=1000&amp;federated_search_id=5d213321-b10a-4a3e-92bf-dad47abcee62" TargetMode="External"/><Relationship Id="rId10" Type="http://schemas.openxmlformats.org/officeDocument/2006/relationships/hyperlink" Target="https://www.airbnb.fr/rooms/39423656?adults=4&amp;check_in=2026-11-25&amp;check_out=2026-11-28&amp;guests=4&amp;location=Kyoto%2C%20Japon&amp;search_mode=regular_search&amp;amenities%5B%5D=33&amp;amenities%5B%5D=34&amp;source_impression_id=p3_1771622161_P3LuTJNUf2agjzSv&amp;previous_page_section_name=1001&amp;federated_search_id=0f71c07c-0853-4246-957e-a9ed58fdcca2" TargetMode="External"/><Relationship Id="rId13" Type="http://schemas.openxmlformats.org/officeDocument/2006/relationships/hyperlink" Target="https://www.airbnb.fr/rooms/1547744592796575135?adults=4&amp;check_in=2026-11-29&amp;check_out=2026-12-02&amp;search_mode=regular_search&amp;source_impression_id=p3_1771621795_P37KqZVE4QVbAetM&amp;previous_page_section_name=1000&amp;federated_search_id=57de8b10-7429-41d5-91d3-768fa654a14e" TargetMode="External"/><Relationship Id="rId12" Type="http://schemas.openxmlformats.org/officeDocument/2006/relationships/hyperlink" Target="https://www.airbnb.fr/rooms/990378354416365514?adults=4&amp;check_in=2026-11-28&amp;check_out=2026-11-29&amp;search_mode=regular_search&amp;source_impression_id=p3_1771621271_P3WMYtJdihdnJfvx&amp;previous_page_section_name=1000&amp;federated_search_id=5d213321-b10a-4a3e-92bf-dad47abcee62" TargetMode="External"/><Relationship Id="rId1" Type="http://schemas.openxmlformats.org/officeDocument/2006/relationships/hyperlink" Target="https://www.airbnb.fr/rooms/1551807196383187760?adults=4&amp;check_in=2026-11-19&amp;check_out=2026-11-22&amp;location=Tokyo%2C%20Japon&amp;search_mode=regular_search&amp;source_impression_id=p3_1770207586_P3j8LktcZG26oHaI&amp;previous_page_section_name=1001&amp;federated_search_id=b330533c-5a3d-4314-a49b-5236a6f92599" TargetMode="External"/><Relationship Id="rId2" Type="http://schemas.openxmlformats.org/officeDocument/2006/relationships/hyperlink" Target="https://www.airbnb.fr/rooms/1546827694877987513?adults=4&amp;check_in=2026-11-19&amp;check_out=2026-11-22&amp;search_mode=regular_search&amp;source_impression_id=p3_1770207596_P36C1gqx2Yl-HoPJ&amp;previous_page_section_name=1000&amp;federated_search_id=702ba1ac-3c32-4c7c-8f84-3f99e4a792e1" TargetMode="External"/><Relationship Id="rId3" Type="http://schemas.openxmlformats.org/officeDocument/2006/relationships/hyperlink" Target="https://www.kanpai.fr/kanazawa" TargetMode="External"/><Relationship Id="rId4" Type="http://schemas.openxmlformats.org/officeDocument/2006/relationships/hyperlink" Target="https://www.airbnb.fr/rooms/21085147?adults=4&amp;check_in=2026-12-22&amp;check_out=2026-12-24&amp;location=Kanazawa%2C%20Pr%C3%A9fecture%20d%27Ishikawa%2C%20Japon&amp;search_mode=regular_search&amp;source_impression_id=p3_1771880005_P3gRjDZZo8tYV8AL&amp;previous_page_section_name=1001&amp;federated_search_id=3031f05c-e964-4df5-8f1b-cb99e3643b92" TargetMode="External"/><Relationship Id="rId9" Type="http://schemas.openxmlformats.org/officeDocument/2006/relationships/hyperlink" Target="https://www.airbnb.fr/rooms/14239019?adults=4&amp;check_in=2026-11-25&amp;check_out=2026-11-28&amp;search_mode=regular_search&amp;source_impression_id=p3_1771621443_P3P6bhz7CDFud453&amp;previous_page_section_name=1000&amp;federated_search_id=89fc444b-61b3-49fe-8d10-b0a96f2bbb09" TargetMode="External"/><Relationship Id="rId15" Type="http://schemas.openxmlformats.org/officeDocument/2006/relationships/hyperlink" Target="https://www.airbnb.fr/rooms/980165974853658280?adults=4&amp;check_in=2026-12-02&amp;check_out=2026-12-03&amp;location=Hakone%2C%20Pr%C3%A9fecture%20de%20Kanagawa%2C%20Japon&amp;search_mode=regular_search&amp;source_impression_id=p3_1771879604_P3O7FddkoHHorhj-&amp;previous_page_section_name=1001&amp;federated_search_id=30352a33-81db-4b46-ace9-571082dd9ec1" TargetMode="External"/><Relationship Id="rId14" Type="http://schemas.openxmlformats.org/officeDocument/2006/relationships/hyperlink" Target="https://www.airbnb.fr/rooms/1547112363118924811?adults=4&amp;check_in=2026-11-29&amp;check_out=2026-12-02&amp;search_mode=regular_search&amp;source_impression_id=p3_1771621795_P3zWOd0qKrsHTcjq&amp;previous_page_section_name=1000&amp;federated_search_id=57de8b10-7429-41d5-91d3-768fa654a14e" TargetMode="External"/><Relationship Id="rId17" Type="http://schemas.openxmlformats.org/officeDocument/2006/relationships/hyperlink" Target="https://www.airbnb.fr/rooms/1504875726419858451?adults=4&amp;check_in=2026-12-03&amp;check_out=2026-12-05&amp;location=Tokyo%2C%20Japon&amp;search_mode=regular_search&amp;source_impression_id=p3_1771621666_P3iFxttAyZceGZZk&amp;previous_page_section_name=1001&amp;federated_search_id=0bcedfbf-a074-4a3d-877e-ffc76d127f6c" TargetMode="External"/><Relationship Id="rId16" Type="http://schemas.openxmlformats.org/officeDocument/2006/relationships/hyperlink" Target="https://www.airbnb.fr/rooms/1385888976541278210?adults=4&amp;check_in=2026-12-02&amp;check_out=2026-12-03&amp;location=Hakone%2C%20Pr%C3%A9fecture%20de%20Kanagawa%2C%20Japon&amp;search_mode=regular_search&amp;source_impression_id=p3_1771879574_P3HHMY-6tbExQ5aP&amp;previous_page_section_name=1001&amp;federated_search_id=dfdf53b5-47bf-465b-9903-946f96cff9bc" TargetMode="External"/><Relationship Id="rId5" Type="http://schemas.openxmlformats.org/officeDocument/2006/relationships/hyperlink" Target="https://www.airbnb.fr/rooms/1564234657706383906?adults=4&amp;check_in=2026-12-22&amp;check_out=2026-12-24&amp;search_mode=regular_search&amp;source_impression_id=p3_1771879953_P39p0KbnXrL7IXbj&amp;previous_page_section_name=1000&amp;federated_search_id=3031f05c-e964-4df5-8f1b-cb99e3643b92" TargetMode="External"/><Relationship Id="rId6" Type="http://schemas.openxmlformats.org/officeDocument/2006/relationships/hyperlink" Target="https://www.kanpai.fr/takayama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booking.com/hotel/jp/ryokufuen-kiyoharu.fr.html?aid=304142&amp;label=gen173nr-10CAsodUISaXJvcmlzdS1mZWktdHVvLXd1SBVYBGhNiAEBmAEzuAEXyAEM2AED6AEB-AEBiAIBqAIBuAKJjuPMBsACAdICJGUyMWE5NTE3LTQ2OWQtNGY3YS04YjM1LTg5YWY2MTJhMmUxMNgCAeACAQ&amp;sid=efcddcab793ee6d3d24cb6eee3baf00d&amp;all_sr_blocks=130427715_398126688_4_0_0&amp;checkin=2026-11-23&amp;checkout=2026-11-25&amp;dest_id=-245205&amp;dest_type=city&amp;dist=0&amp;group_adults=4&amp;group_children=0&amp;hapos=7&amp;highlighted_blocks=130427715_398126688_4_0_0&amp;hpos=7&amp;matching_block_id=130427715_398126688_4_0_0&amp;no_rooms=1&amp;req_adults=4&amp;req_children=0&amp;room1=A%2CA%2CA%2CA&amp;sb_price_type=total&amp;sr_order=popularity&amp;sr_pri_blocks=130427715_398126688_4_0_0__8670000&amp;srepoch=1771620201&amp;srpvid=0ef291999f8c0110&amp;type=total&amp;ucfs=1&amp;" TargetMode="External"/><Relationship Id="rId8" Type="http://schemas.openxmlformats.org/officeDocument/2006/relationships/hyperlink" Target="https://www.airbnb.fr/rooms/1498316738993785321?adults=4&amp;check_in=2026-11-23&amp;check_out=2026-11-25&amp;search_mode=regular_search&amp;amenities%5B%5D=34&amp;source_impression_id=p3_1771622341_P3O78B4x-qi9Lsg_&amp;previous_page_section_name=1000&amp;federated_search_id=432fad07-d2e5-458d-aa75-fecced5fd6a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voyages.routard.com/fr/idea/21125969/le-japon-en-15-jours-par-routard" TargetMode="External"/><Relationship Id="rId2" Type="http://schemas.openxmlformats.org/officeDocument/2006/relationships/hyperlink" Target="https://onmetlesvoiles.com/circuit-de-2-semaines-au-japon-itineraire-budget/" TargetMode="External"/><Relationship Id="rId3" Type="http://schemas.openxmlformats.org/officeDocument/2006/relationships/hyperlink" Target="https://recitsdescapades.com/15-jours-au-japon-notre-itineraire/" TargetMode="External"/><Relationship Id="rId4" Type="http://schemas.openxmlformats.org/officeDocument/2006/relationships/hyperlink" Target="https://www.elovoyage.com/itineraire-deux-semaines-japon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petitfute.com/p205-japon/actualite/m4-idees-week-end-et-vacances/a39900-visiter-le-japon-en-15-jours-le-meilleur-itineraire-a-faire.html" TargetMode="External"/><Relationship Id="rId6" Type="http://schemas.openxmlformats.org/officeDocument/2006/relationships/hyperlink" Target="https://www.reddit.com/r/JapanTravelTips/comments/1r9ibcq/for_those_thatve_been_to_tokyo_more_than_5_times/" TargetMode="External"/><Relationship Id="rId7" Type="http://schemas.openxmlformats.org/officeDocument/2006/relationships/hyperlink" Target="https://www.japan-guide.com/e/e2400_best.html" TargetMode="External"/><Relationship Id="rId8" Type="http://schemas.openxmlformats.org/officeDocument/2006/relationships/hyperlink" Target="https://www.japan-guide.com/e/e2400_tokyo_15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25"/>
    <col customWidth="1" min="3" max="3" width="24.0"/>
    <col customWidth="1" min="4" max="4" width="24.88"/>
    <col customWidth="1" min="5" max="5" width="35.25"/>
    <col customWidth="1" min="8" max="8" width="24.13"/>
    <col customWidth="1" min="9" max="9" width="18.13"/>
    <col customWidth="1" min="10" max="10" width="29.88"/>
    <col customWidth="1" min="13" max="13" width="30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>
        <v>46344.0</v>
      </c>
      <c r="B2" s="8"/>
      <c r="C2" s="8" t="s">
        <v>13</v>
      </c>
      <c r="D2" s="9" t="s">
        <v>14</v>
      </c>
      <c r="H2" s="8"/>
      <c r="I2" s="10"/>
      <c r="J2" s="10"/>
      <c r="K2" s="10"/>
      <c r="L2" s="10"/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13">
        <v>46345.0</v>
      </c>
      <c r="B3" s="14" t="s">
        <v>15</v>
      </c>
      <c r="C3" s="14" t="s">
        <v>15</v>
      </c>
      <c r="D3" s="15" t="s">
        <v>16</v>
      </c>
      <c r="E3" s="16" t="s">
        <v>17</v>
      </c>
      <c r="F3" s="14">
        <v>363.0</v>
      </c>
      <c r="G3" s="17">
        <f>F3/4</f>
        <v>90.75</v>
      </c>
      <c r="H3" s="14" t="b">
        <v>0</v>
      </c>
      <c r="I3" s="14"/>
      <c r="J3" s="17"/>
      <c r="K3" s="17"/>
      <c r="L3" s="17"/>
      <c r="M3" s="18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>
      <c r="A4" s="13">
        <v>46346.0</v>
      </c>
      <c r="I4" s="14"/>
      <c r="J4" s="14"/>
      <c r="K4" s="14"/>
      <c r="L4" s="14"/>
      <c r="M4" s="20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>
      <c r="A5" s="13">
        <v>46347.0</v>
      </c>
      <c r="I5" s="14" t="s">
        <v>18</v>
      </c>
      <c r="J5" s="17"/>
      <c r="K5" s="17"/>
      <c r="L5" s="17"/>
      <c r="M5" s="2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>
      <c r="A6" s="22">
        <v>46348.0</v>
      </c>
      <c r="B6" s="23" t="s">
        <v>19</v>
      </c>
      <c r="C6" s="24" t="s">
        <v>19</v>
      </c>
      <c r="D6" s="25" t="s">
        <v>20</v>
      </c>
      <c r="E6" s="25" t="s">
        <v>21</v>
      </c>
      <c r="F6" s="26">
        <v>344.0</v>
      </c>
      <c r="G6" s="26">
        <f>F6/4</f>
        <v>86</v>
      </c>
      <c r="H6" s="23" t="b">
        <v>0</v>
      </c>
      <c r="I6" s="23"/>
      <c r="J6" s="23" t="s">
        <v>22</v>
      </c>
      <c r="K6" s="23">
        <v>90.0</v>
      </c>
      <c r="L6" s="23" t="b">
        <v>0</v>
      </c>
      <c r="M6" s="27"/>
      <c r="N6" s="28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>
      <c r="A7" s="22">
        <v>46349.0</v>
      </c>
      <c r="I7" s="29"/>
      <c r="J7" s="29"/>
      <c r="K7" s="29"/>
      <c r="L7" s="29"/>
      <c r="M7" s="30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>
      <c r="A8" s="31">
        <v>46350.0</v>
      </c>
      <c r="B8" s="32" t="s">
        <v>23</v>
      </c>
      <c r="C8" s="33" t="s">
        <v>24</v>
      </c>
      <c r="D8" s="33" t="s">
        <v>25</v>
      </c>
      <c r="E8" s="33" t="s">
        <v>26</v>
      </c>
      <c r="F8" s="34">
        <v>475.0</v>
      </c>
      <c r="G8" s="34">
        <f>F8/4</f>
        <v>118.75</v>
      </c>
      <c r="H8" s="32"/>
      <c r="I8" s="35"/>
      <c r="J8" s="32" t="s">
        <v>27</v>
      </c>
      <c r="K8" s="32">
        <v>30.0</v>
      </c>
      <c r="L8" s="32" t="b">
        <v>0</v>
      </c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</row>
    <row r="9">
      <c r="A9" s="31">
        <v>46351.0</v>
      </c>
      <c r="B9" s="32" t="s">
        <v>24</v>
      </c>
      <c r="I9" s="38"/>
      <c r="J9" s="32"/>
      <c r="K9" s="32"/>
      <c r="L9" s="32"/>
      <c r="M9" s="36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</row>
    <row r="10">
      <c r="A10" s="39">
        <v>46352.0</v>
      </c>
      <c r="B10" s="40" t="s">
        <v>28</v>
      </c>
      <c r="C10" s="40" t="s">
        <v>28</v>
      </c>
      <c r="D10" s="41" t="s">
        <v>29</v>
      </c>
      <c r="E10" s="41" t="s">
        <v>30</v>
      </c>
      <c r="F10" s="42">
        <v>250.0</v>
      </c>
      <c r="G10" s="42">
        <f>F10/4</f>
        <v>62.5</v>
      </c>
      <c r="H10" s="40" t="b">
        <v>0</v>
      </c>
      <c r="I10" s="43"/>
      <c r="J10" s="40" t="s">
        <v>31</v>
      </c>
      <c r="K10" s="40">
        <v>65.0</v>
      </c>
      <c r="L10" s="40" t="b">
        <v>0</v>
      </c>
      <c r="M10" s="44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</row>
    <row r="11" ht="16.5" customHeight="1">
      <c r="A11" s="39">
        <v>46353.0</v>
      </c>
      <c r="B11" s="40" t="s">
        <v>32</v>
      </c>
      <c r="I11" s="40" t="s">
        <v>32</v>
      </c>
      <c r="J11" s="40" t="s">
        <v>33</v>
      </c>
      <c r="K11" s="40">
        <v>9.0</v>
      </c>
      <c r="L11" s="40" t="b">
        <v>0</v>
      </c>
      <c r="M11" s="46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>
      <c r="A12" s="39">
        <v>46354.0</v>
      </c>
      <c r="B12" s="40" t="s">
        <v>28</v>
      </c>
      <c r="I12" s="47"/>
      <c r="J12" s="47"/>
      <c r="K12" s="45"/>
      <c r="L12" s="45"/>
      <c r="M12" s="48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</row>
    <row r="13">
      <c r="A13" s="49">
        <v>46355.0</v>
      </c>
      <c r="B13" s="50" t="s">
        <v>34</v>
      </c>
      <c r="C13" s="50" t="s">
        <v>35</v>
      </c>
      <c r="D13" s="51" t="s">
        <v>36</v>
      </c>
      <c r="E13" s="51" t="s">
        <v>37</v>
      </c>
      <c r="F13" s="52">
        <v>137.0</v>
      </c>
      <c r="G13" s="52">
        <f t="shared" ref="G13:G14" si="1">F13/4</f>
        <v>34.25</v>
      </c>
      <c r="H13" s="50" t="b">
        <v>0</v>
      </c>
      <c r="I13" s="53" t="s">
        <v>38</v>
      </c>
      <c r="J13" s="50" t="s">
        <v>39</v>
      </c>
      <c r="K13" s="54">
        <v>70.0</v>
      </c>
      <c r="L13" s="50" t="b">
        <v>0</v>
      </c>
      <c r="M13" s="55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</row>
    <row r="14">
      <c r="A14" s="57">
        <v>46356.0</v>
      </c>
      <c r="B14" s="58" t="s">
        <v>40</v>
      </c>
      <c r="C14" s="59" t="s">
        <v>40</v>
      </c>
      <c r="D14" s="60" t="s">
        <v>41</v>
      </c>
      <c r="E14" s="61" t="s">
        <v>42</v>
      </c>
      <c r="F14" s="62">
        <v>100.0</v>
      </c>
      <c r="G14" s="62">
        <f t="shared" si="1"/>
        <v>25</v>
      </c>
      <c r="H14" s="59"/>
      <c r="I14" s="63"/>
      <c r="J14" s="59" t="s">
        <v>43</v>
      </c>
      <c r="K14" s="64"/>
      <c r="L14" s="59" t="b">
        <v>0</v>
      </c>
      <c r="M14" s="65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</row>
    <row r="15">
      <c r="A15" s="57">
        <v>46357.0</v>
      </c>
      <c r="B15" s="59" t="s">
        <v>44</v>
      </c>
      <c r="I15" s="59" t="s">
        <v>44</v>
      </c>
      <c r="J15" s="64"/>
      <c r="K15" s="64"/>
      <c r="L15" s="59" t="b">
        <v>0</v>
      </c>
      <c r="M15" s="66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</row>
    <row r="16">
      <c r="A16" s="67">
        <v>46358.0</v>
      </c>
      <c r="B16" s="68" t="s">
        <v>45</v>
      </c>
      <c r="C16" s="69" t="s">
        <v>45</v>
      </c>
      <c r="D16" s="70" t="s">
        <v>46</v>
      </c>
      <c r="E16" s="70" t="s">
        <v>47</v>
      </c>
      <c r="F16" s="71">
        <v>271.0</v>
      </c>
      <c r="G16" s="72">
        <f t="shared" ref="G16:G17" si="2">F16/4</f>
        <v>67.75</v>
      </c>
      <c r="H16" s="68" t="b">
        <v>0</v>
      </c>
      <c r="I16" s="71" t="s">
        <v>48</v>
      </c>
      <c r="J16" s="68" t="s">
        <v>49</v>
      </c>
      <c r="K16" s="68">
        <v>90.0</v>
      </c>
      <c r="L16" s="68" t="b">
        <v>0</v>
      </c>
      <c r="M16" s="73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</row>
    <row r="17">
      <c r="A17" s="13">
        <v>46359.0</v>
      </c>
      <c r="B17" s="14" t="s">
        <v>15</v>
      </c>
      <c r="C17" s="14" t="s">
        <v>15</v>
      </c>
      <c r="D17" s="15" t="s">
        <v>50</v>
      </c>
      <c r="E17" s="14"/>
      <c r="F17" s="14">
        <v>371.0</v>
      </c>
      <c r="G17" s="75">
        <f t="shared" si="2"/>
        <v>92.75</v>
      </c>
      <c r="H17" s="14" t="b">
        <v>0</v>
      </c>
      <c r="I17" s="17"/>
      <c r="J17" s="14" t="s">
        <v>43</v>
      </c>
      <c r="K17" s="14">
        <v>20.0</v>
      </c>
      <c r="L17" s="14" t="b">
        <v>0</v>
      </c>
      <c r="M17" s="18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>
      <c r="A18" s="13">
        <v>46360.0</v>
      </c>
      <c r="I18" s="17"/>
      <c r="J18" s="17"/>
      <c r="K18" s="17"/>
      <c r="L18" s="17"/>
      <c r="M18" s="21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>
      <c r="A19" s="39">
        <v>46361.0</v>
      </c>
      <c r="B19" s="40"/>
      <c r="C19" s="40" t="s">
        <v>51</v>
      </c>
      <c r="D19" s="76" t="s">
        <v>14</v>
      </c>
      <c r="H19" s="40"/>
      <c r="I19" s="43"/>
      <c r="J19" s="43"/>
      <c r="K19" s="43"/>
      <c r="L19" s="43"/>
      <c r="M19" s="44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</row>
    <row r="20">
      <c r="A20" s="39"/>
      <c r="B20" s="77"/>
      <c r="C20" s="40"/>
      <c r="D20" s="76"/>
      <c r="E20" s="76"/>
      <c r="F20" s="76"/>
      <c r="G20" s="76"/>
      <c r="H20" s="40"/>
      <c r="I20" s="43"/>
      <c r="J20" s="43"/>
      <c r="K20" s="43"/>
      <c r="L20" s="43"/>
      <c r="M20" s="44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</row>
    <row r="21">
      <c r="A21" s="78" t="s">
        <v>52</v>
      </c>
      <c r="B21" s="79"/>
      <c r="C21" s="80"/>
      <c r="D21" s="80"/>
      <c r="E21" s="81"/>
      <c r="F21" s="81">
        <f>SUM(F3:F18)/16</f>
        <v>144.4375</v>
      </c>
      <c r="G21" s="81">
        <f t="shared" ref="G21:G22" si="3">F21/4</f>
        <v>36.109375</v>
      </c>
      <c r="H21" s="80"/>
      <c r="I21" s="80"/>
      <c r="J21" s="80"/>
      <c r="K21" s="80"/>
      <c r="L21" s="80"/>
      <c r="M21" s="82"/>
    </row>
    <row r="22">
      <c r="A22" s="78" t="s">
        <v>53</v>
      </c>
      <c r="B22" s="79"/>
      <c r="C22" s="80"/>
      <c r="D22" s="80"/>
      <c r="E22" s="81"/>
      <c r="F22" s="81">
        <f>SUM(F3:F18)</f>
        <v>2311</v>
      </c>
      <c r="G22" s="81">
        <f t="shared" si="3"/>
        <v>577.75</v>
      </c>
      <c r="H22" s="80"/>
      <c r="I22" s="80"/>
      <c r="J22" s="80"/>
      <c r="K22" s="80"/>
      <c r="L22" s="80"/>
      <c r="M22" s="83"/>
    </row>
    <row r="23">
      <c r="A23" s="84" t="s">
        <v>54</v>
      </c>
      <c r="B23" s="85"/>
      <c r="C23" s="80"/>
      <c r="D23" s="80"/>
      <c r="E23" s="81"/>
      <c r="F23" s="86">
        <f>G23*4</f>
        <v>1200</v>
      </c>
      <c r="G23" s="86">
        <v>300.0</v>
      </c>
      <c r="H23" s="87"/>
      <c r="I23" s="80"/>
      <c r="J23" s="80"/>
      <c r="K23" s="80"/>
      <c r="L23" s="80"/>
      <c r="M23" s="83"/>
    </row>
    <row r="24">
      <c r="A24" s="84" t="s">
        <v>55</v>
      </c>
      <c r="B24" s="85"/>
      <c r="C24" s="80"/>
      <c r="D24" s="80"/>
      <c r="E24" s="81"/>
      <c r="F24" s="86">
        <v>200.0</v>
      </c>
      <c r="G24" s="81">
        <f>F24/4</f>
        <v>50</v>
      </c>
      <c r="H24" s="87" t="b">
        <v>0</v>
      </c>
      <c r="I24" s="80"/>
      <c r="J24" s="80"/>
      <c r="K24" s="80"/>
      <c r="L24" s="80"/>
      <c r="M24" s="83"/>
    </row>
    <row r="25">
      <c r="A25" s="88"/>
      <c r="B25" s="89"/>
      <c r="C25" s="90"/>
      <c r="D25" s="90"/>
      <c r="E25" s="91"/>
      <c r="F25" s="91"/>
      <c r="G25" s="91"/>
      <c r="M25" s="92"/>
    </row>
    <row r="26">
      <c r="A26" s="93" t="s">
        <v>56</v>
      </c>
      <c r="B26" s="94"/>
      <c r="C26" s="95"/>
      <c r="D26" s="95"/>
      <c r="E26" s="96"/>
      <c r="F26" s="96">
        <f>SUM(F22:F24)</f>
        <v>3711</v>
      </c>
      <c r="G26" s="96">
        <f>SUM(G22:G25)</f>
        <v>927.75</v>
      </c>
      <c r="H26" s="97"/>
      <c r="I26" s="97"/>
      <c r="J26" s="97"/>
      <c r="K26" s="97"/>
      <c r="L26" s="97"/>
      <c r="M26" s="98"/>
    </row>
    <row r="27">
      <c r="A27" s="99"/>
      <c r="B27" s="99"/>
    </row>
    <row r="33">
      <c r="A33" s="100"/>
      <c r="B33" s="100"/>
    </row>
    <row r="34">
      <c r="A34" s="101"/>
      <c r="B34" s="101"/>
    </row>
  </sheetData>
  <mergeCells count="41">
    <mergeCell ref="D2:G2"/>
    <mergeCell ref="C3:C5"/>
    <mergeCell ref="D3:D5"/>
    <mergeCell ref="E3:E5"/>
    <mergeCell ref="F3:F5"/>
    <mergeCell ref="G3:G5"/>
    <mergeCell ref="H3:H5"/>
    <mergeCell ref="B3:B5"/>
    <mergeCell ref="B6:B7"/>
    <mergeCell ref="D6:D7"/>
    <mergeCell ref="E6:E7"/>
    <mergeCell ref="F6:F7"/>
    <mergeCell ref="G6:G7"/>
    <mergeCell ref="H6:H7"/>
    <mergeCell ref="C10:C12"/>
    <mergeCell ref="D10:D12"/>
    <mergeCell ref="E10:E12"/>
    <mergeCell ref="F10:F12"/>
    <mergeCell ref="G10:G12"/>
    <mergeCell ref="H10:H12"/>
    <mergeCell ref="C6:C7"/>
    <mergeCell ref="C8:C9"/>
    <mergeCell ref="D8:D9"/>
    <mergeCell ref="E8:E9"/>
    <mergeCell ref="F8:F9"/>
    <mergeCell ref="G8:G9"/>
    <mergeCell ref="H8:H9"/>
    <mergeCell ref="C14:C15"/>
    <mergeCell ref="B17:B18"/>
    <mergeCell ref="C17:C18"/>
    <mergeCell ref="D17:D18"/>
    <mergeCell ref="E17:E18"/>
    <mergeCell ref="F17:F18"/>
    <mergeCell ref="D19:G19"/>
    <mergeCell ref="F14:F15"/>
    <mergeCell ref="G14:G15"/>
    <mergeCell ref="H14:H15"/>
    <mergeCell ref="G17:G18"/>
    <mergeCell ref="H17:H18"/>
    <mergeCell ref="D14:D15"/>
    <mergeCell ref="E14:E15"/>
  </mergeCells>
  <conditionalFormatting sqref="H6:H9">
    <cfRule type="cellIs" dxfId="0" priority="1" operator="equal">
      <formula>"GALS"</formula>
    </cfRule>
  </conditionalFormatting>
  <hyperlinks>
    <hyperlink r:id="rId1" ref="D3"/>
    <hyperlink r:id="rId2" ref="E3"/>
    <hyperlink r:id="rId3" ref="C6"/>
    <hyperlink r:id="rId4" ref="D6"/>
    <hyperlink r:id="rId5" ref="E6"/>
    <hyperlink r:id="rId6" ref="C8"/>
    <hyperlink r:id="rId7" ref="D8"/>
    <hyperlink r:id="rId8" ref="E8"/>
    <hyperlink r:id="rId9" ref="D10"/>
    <hyperlink r:id="rId10" ref="E10"/>
    <hyperlink r:id="rId11" ref="D13"/>
    <hyperlink r:id="rId12" ref="E13"/>
    <hyperlink r:id="rId13" ref="D14"/>
    <hyperlink r:id="rId14" ref="E14"/>
    <hyperlink r:id="rId15" ref="D16"/>
    <hyperlink r:id="rId16" ref="E16"/>
    <hyperlink r:id="rId17" ref="D17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102" t="s">
        <v>57</v>
      </c>
      <c r="B1" s="103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>
      <c r="A2" s="105" t="s">
        <v>58</v>
      </c>
      <c r="B2" s="106">
        <v>300.0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>
      <c r="A3" s="105" t="s">
        <v>59</v>
      </c>
      <c r="B3" s="107">
        <f>B2/B4</f>
        <v>1.634966483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>
      <c r="A4" s="108" t="s">
        <v>60</v>
      </c>
      <c r="B4" s="109">
        <f>IFERROR(__xludf.DUMMYFUNCTION("GOOGLEFINANCE(""Currency:EURJPY"")"),183.49)</f>
        <v>183.49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2.0"/>
    <col customWidth="1" min="3" max="3" width="52.88"/>
  </cols>
  <sheetData>
    <row r="1">
      <c r="A1" s="110" t="s">
        <v>61</v>
      </c>
      <c r="B1" s="110" t="s">
        <v>62</v>
      </c>
      <c r="C1" s="110" t="s">
        <v>63</v>
      </c>
    </row>
    <row r="2">
      <c r="A2" s="111" t="s">
        <v>64</v>
      </c>
      <c r="B2" s="104"/>
      <c r="C2" s="104"/>
    </row>
    <row r="3">
      <c r="A3" s="111" t="s">
        <v>65</v>
      </c>
      <c r="B3" s="104"/>
      <c r="C3" s="104"/>
    </row>
    <row r="4">
      <c r="A4" s="111" t="s">
        <v>66</v>
      </c>
      <c r="B4" s="104"/>
      <c r="C4" s="104"/>
    </row>
    <row r="5">
      <c r="A5" s="111" t="s">
        <v>67</v>
      </c>
      <c r="B5" s="104"/>
      <c r="C5" s="104"/>
    </row>
    <row r="6">
      <c r="A6" s="111" t="s">
        <v>68</v>
      </c>
      <c r="B6" s="104"/>
      <c r="C6" s="104"/>
    </row>
    <row r="7">
      <c r="A7" s="112" t="s">
        <v>69</v>
      </c>
    </row>
    <row r="8">
      <c r="A8" s="113" t="s">
        <v>70</v>
      </c>
    </row>
    <row r="9">
      <c r="A9" s="113" t="s">
        <v>71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4" t="s">
        <v>72</v>
      </c>
    </row>
    <row r="3">
      <c r="A3" s="115" t="s">
        <v>73</v>
      </c>
    </row>
    <row r="4">
      <c r="A4" s="116"/>
    </row>
    <row r="5">
      <c r="A5" s="115" t="s">
        <v>74</v>
      </c>
    </row>
    <row r="6">
      <c r="A6" s="115" t="s">
        <v>75</v>
      </c>
    </row>
    <row r="7">
      <c r="A7" s="116"/>
    </row>
    <row r="8">
      <c r="A8" s="115" t="s">
        <v>76</v>
      </c>
    </row>
    <row r="9">
      <c r="A9" s="116"/>
    </row>
    <row r="10">
      <c r="A10" s="115" t="s">
        <v>77</v>
      </c>
    </row>
    <row r="11">
      <c r="A11" s="116"/>
    </row>
    <row r="12">
      <c r="A12" s="115" t="s">
        <v>78</v>
      </c>
    </row>
    <row r="13">
      <c r="A13" s="116"/>
    </row>
    <row r="14">
      <c r="A14" s="115" t="s">
        <v>79</v>
      </c>
    </row>
    <row r="15">
      <c r="A15" s="115" t="s">
        <v>80</v>
      </c>
    </row>
    <row r="16">
      <c r="A16" s="116"/>
    </row>
    <row r="17">
      <c r="A17" s="115" t="s">
        <v>81</v>
      </c>
    </row>
    <row r="18">
      <c r="A18" s="116"/>
    </row>
    <row r="19">
      <c r="A19" s="115" t="s">
        <v>82</v>
      </c>
    </row>
    <row r="20">
      <c r="A20" s="116"/>
    </row>
    <row r="21">
      <c r="A21" s="115" t="s">
        <v>83</v>
      </c>
    </row>
    <row r="22">
      <c r="A22" s="116"/>
    </row>
    <row r="23">
      <c r="A23" s="115" t="s">
        <v>84</v>
      </c>
    </row>
    <row r="24">
      <c r="A24" s="116"/>
    </row>
    <row r="25">
      <c r="A25" s="115" t="s">
        <v>85</v>
      </c>
    </row>
    <row r="26">
      <c r="A26" s="115" t="s">
        <v>86</v>
      </c>
    </row>
    <row r="27">
      <c r="A27" s="116"/>
    </row>
    <row r="28">
      <c r="A28" s="115" t="s">
        <v>87</v>
      </c>
    </row>
    <row r="29">
      <c r="A29" s="115" t="s">
        <v>88</v>
      </c>
    </row>
    <row r="30">
      <c r="A30" s="116"/>
    </row>
    <row r="31">
      <c r="A31" s="115" t="s">
        <v>89</v>
      </c>
    </row>
    <row r="32">
      <c r="A32" s="116"/>
    </row>
    <row r="33">
      <c r="A33" s="115" t="s">
        <v>90</v>
      </c>
    </row>
    <row r="34">
      <c r="A34" s="116"/>
    </row>
    <row r="35">
      <c r="A35" s="115" t="s">
        <v>91</v>
      </c>
    </row>
    <row r="36">
      <c r="A36" s="115" t="s">
        <v>92</v>
      </c>
    </row>
    <row r="37">
      <c r="A37" s="116"/>
    </row>
    <row r="38">
      <c r="A38" s="115" t="s">
        <v>93</v>
      </c>
    </row>
    <row r="39">
      <c r="A39" s="116"/>
    </row>
    <row r="40">
      <c r="A40" s="115" t="s">
        <v>94</v>
      </c>
    </row>
    <row r="41">
      <c r="A41" s="116"/>
    </row>
    <row r="42">
      <c r="A42" s="115" t="s">
        <v>95</v>
      </c>
    </row>
    <row r="43">
      <c r="A43" s="116"/>
    </row>
    <row r="44">
      <c r="A44" s="115" t="s">
        <v>96</v>
      </c>
    </row>
    <row r="45">
      <c r="A45" s="116"/>
    </row>
    <row r="46">
      <c r="A46" s="115" t="s">
        <v>97</v>
      </c>
    </row>
    <row r="47">
      <c r="A47" s="116"/>
    </row>
    <row r="48">
      <c r="A48" s="115" t="s">
        <v>98</v>
      </c>
    </row>
    <row r="49">
      <c r="A49" s="115" t="s">
        <v>99</v>
      </c>
    </row>
    <row r="50">
      <c r="A50" s="116"/>
    </row>
    <row r="51">
      <c r="A51" s="115" t="s">
        <v>100</v>
      </c>
    </row>
    <row r="52">
      <c r="A52" s="116"/>
    </row>
    <row r="53">
      <c r="A53" s="115" t="s">
        <v>101</v>
      </c>
    </row>
    <row r="54">
      <c r="A54" s="116"/>
    </row>
    <row r="55">
      <c r="A55" s="115" t="s">
        <v>102</v>
      </c>
    </row>
    <row r="56">
      <c r="A56" s="116"/>
    </row>
    <row r="57">
      <c r="A57" s="115" t="s">
        <v>103</v>
      </c>
    </row>
    <row r="58">
      <c r="A58" s="116"/>
    </row>
    <row r="59">
      <c r="A59" s="115" t="s">
        <v>104</v>
      </c>
    </row>
    <row r="60">
      <c r="A60" s="116"/>
    </row>
    <row r="61">
      <c r="A61" s="115" t="s">
        <v>105</v>
      </c>
    </row>
    <row r="62">
      <c r="A62" s="115" t="s">
        <v>106</v>
      </c>
    </row>
    <row r="63">
      <c r="A63" s="116"/>
    </row>
    <row r="64">
      <c r="A64" s="115" t="s">
        <v>107</v>
      </c>
    </row>
    <row r="65">
      <c r="A65" s="116"/>
    </row>
    <row r="66">
      <c r="A66" s="115" t="s">
        <v>108</v>
      </c>
    </row>
    <row r="67">
      <c r="A67" s="116"/>
    </row>
    <row r="68">
      <c r="A68" s="115" t="s">
        <v>109</v>
      </c>
    </row>
    <row r="69">
      <c r="A69" s="116"/>
    </row>
    <row r="70">
      <c r="A70" s="115" t="s">
        <v>110</v>
      </c>
    </row>
    <row r="71">
      <c r="A71" s="116"/>
    </row>
    <row r="72">
      <c r="A72" s="115" t="s">
        <v>111</v>
      </c>
    </row>
    <row r="73">
      <c r="A73" s="115" t="s">
        <v>112</v>
      </c>
    </row>
    <row r="74">
      <c r="A74" s="116"/>
    </row>
    <row r="75">
      <c r="A75" s="115" t="s">
        <v>113</v>
      </c>
    </row>
    <row r="76">
      <c r="A76" s="116"/>
    </row>
    <row r="77">
      <c r="A77" s="115" t="s">
        <v>114</v>
      </c>
    </row>
    <row r="78">
      <c r="A78" s="116"/>
    </row>
    <row r="79">
      <c r="A79" s="115" t="s">
        <v>115</v>
      </c>
    </row>
    <row r="80">
      <c r="A80" s="116"/>
    </row>
    <row r="81">
      <c r="A81" s="115" t="s">
        <v>116</v>
      </c>
    </row>
    <row r="82">
      <c r="A82" s="116"/>
    </row>
    <row r="83">
      <c r="A83" s="115" t="s">
        <v>117</v>
      </c>
    </row>
    <row r="84">
      <c r="A84" s="116"/>
    </row>
    <row r="85">
      <c r="A85" s="115" t="s">
        <v>118</v>
      </c>
    </row>
    <row r="86">
      <c r="A86" s="116"/>
    </row>
    <row r="87">
      <c r="A87" s="115" t="s">
        <v>119</v>
      </c>
    </row>
    <row r="88">
      <c r="A88" s="115" t="s">
        <v>120</v>
      </c>
    </row>
    <row r="89">
      <c r="A89" s="116"/>
    </row>
    <row r="90">
      <c r="A90" s="115" t="s">
        <v>121</v>
      </c>
    </row>
    <row r="91">
      <c r="A91" s="115" t="s">
        <v>122</v>
      </c>
    </row>
    <row r="92">
      <c r="A92" s="116" t="str">
        <f>++ Conseil pratique : arrivez tôt le matin &amp; réservez vos billets + Express Pass en avance pour éviter les longues files d’attente.</f>
        <v>#ERROR!</v>
      </c>
    </row>
    <row r="93">
      <c r="A93" s="116"/>
    </row>
    <row r="94">
      <c r="A94" s="115" t="s">
        <v>123</v>
      </c>
    </row>
    <row r="95">
      <c r="A95" s="116"/>
    </row>
    <row r="96">
      <c r="A96" s="115" t="s">
        <v>124</v>
      </c>
    </row>
    <row r="97">
      <c r="A97" s="116"/>
    </row>
    <row r="98">
      <c r="A98" s="115" t="s">
        <v>125</v>
      </c>
    </row>
    <row r="99">
      <c r="A99" s="115" t="s">
        <v>126</v>
      </c>
    </row>
    <row r="100">
      <c r="A100" s="116"/>
    </row>
    <row r="101">
      <c r="A101" s="115" t="s">
        <v>127</v>
      </c>
    </row>
    <row r="102">
      <c r="A102" s="115" t="s">
        <v>128</v>
      </c>
    </row>
    <row r="103">
      <c r="A103" s="116"/>
    </row>
    <row r="104">
      <c r="A104" s="115" t="s">
        <v>129</v>
      </c>
    </row>
    <row r="105">
      <c r="A105" s="115" t="s">
        <v>130</v>
      </c>
    </row>
    <row r="106">
      <c r="A106" s="116"/>
    </row>
    <row r="107">
      <c r="A107" s="115" t="s">
        <v>131</v>
      </c>
    </row>
    <row r="108">
      <c r="A108" s="115" t="s">
        <v>132</v>
      </c>
    </row>
    <row r="109">
      <c r="A109" s="116"/>
    </row>
    <row r="110">
      <c r="A110" s="115" t="s">
        <v>133</v>
      </c>
    </row>
    <row r="111">
      <c r="A111" s="116"/>
    </row>
    <row r="112">
      <c r="A112" s="115" t="s">
        <v>134</v>
      </c>
    </row>
    <row r="113">
      <c r="A113" s="116"/>
    </row>
    <row r="114">
      <c r="A114" s="115" t="s">
        <v>135</v>
      </c>
    </row>
    <row r="115">
      <c r="A115" s="117" t="s">
        <v>136</v>
      </c>
    </row>
    <row r="116">
      <c r="A116" s="118"/>
    </row>
    <row r="117">
      <c r="A117" s="117" t="s">
        <v>137</v>
      </c>
    </row>
    <row r="118">
      <c r="A118" s="118"/>
    </row>
    <row r="119">
      <c r="A119" s="117" t="s">
        <v>138</v>
      </c>
    </row>
    <row r="120">
      <c r="A120" s="118"/>
    </row>
    <row r="121">
      <c r="A121" s="117" t="s">
        <v>139</v>
      </c>
    </row>
  </sheetData>
  <drawing r:id="rId1"/>
</worksheet>
</file>